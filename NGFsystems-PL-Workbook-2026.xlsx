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2026 P&amp;L" sheetId="2" state="visible" r:id="rId4"/>
    <sheet name="Clients" sheetId="3" state="visible" r:id="rId5"/>
    <sheet name="Annual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<sst xmlns="http://schemas.openxmlformats.org/spreadsheetml/2006/main" count="162" uniqueCount="158">
  <si>
    <t xml:space="preserve">NGFsystems — Profit &amp; Loss Workbook</t>
  </si>
  <si>
    <t xml:space="preserve">Monthly business tracking · Foundation for taxes, decisions, and growth</t>
  </si>
  <si>
    <t xml:space="preserve">How to use this workbook</t>
  </si>
  <si>
    <t xml:space="preserve">This is your monthly P&amp;L (profit and loss) tracking workbook. Use it to record income and expenses every month, see your gross and net margins, and have clean records for taxes and decision-making.</t>
  </si>
  <si>
    <t xml:space="preserve">  •  At the end of each month, open the "2026 P&amp;L" sheet and fill in the BLUE cells under that month's column.</t>
  </si>
  <si>
    <t xml:space="preserve">  •  Income rows: enter how much you actually collected (not what was invoiced — only what cleared the bank).</t>
  </si>
  <si>
    <t xml:space="preserve">  •  Expense rows: enter what you actually paid for each category.</t>
  </si>
  <si>
    <t xml:space="preserve">  •  Black cells are formulas. Don't type into them — they calculate automatically.</t>
  </si>
  <si>
    <t xml:space="preserve">  •  YTD (column N) and Annual Projection (column O) update automatically as you fill in months.</t>
  </si>
  <si>
    <t xml:space="preserve">  •  When you add a new client, add a row to the "Clients" sheet. The Clients sheet is a reference for you — your MRR roster.</t>
  </si>
  <si>
    <t xml:space="preserve">  •  At year-end, the "Annual Summary" sheet is what your accountant wants. Save a copy as "NGFsystems-PL-2026-Final.xlsx" before starting 2027.</t>
  </si>
  <si>
    <t xml:space="preserve">Color key</t>
  </si>
  <si>
    <t xml:space="preserve">  Blue text  </t>
  </si>
  <si>
    <t xml:space="preserve">Your inputs. The cells you type into each month. Hardcoded values.</t>
  </si>
  <si>
    <t xml:space="preserve">  Black text </t>
  </si>
  <si>
    <t xml:space="preserve">Formulas. Auto-calculated. Don't edit these.</t>
  </si>
  <si>
    <t xml:space="preserve">  Green text </t>
  </si>
  <si>
    <t xml:space="preserve">Links to other sheets (e.g. totals pulled from the Clients sheet).</t>
  </si>
  <si>
    <t xml:space="preserve">  Yellow background</t>
  </si>
  <si>
    <t xml:space="preserve">Cells flagged for attention or annual review.</t>
  </si>
  <si>
    <t xml:space="preserve">Monthly checklist — first week of each month</t>
  </si>
  <si>
    <t xml:space="preserve">  •  Open this workbook, go to the "2026 P&amp;L" sheet, scroll to last month's column.</t>
  </si>
  <si>
    <t xml:space="preserve">  •  Fill in collected income for each category (recurring revenue collected, setup fees received, etc.).</t>
  </si>
  <si>
    <t xml:space="preserve">  •  Fill in expenses paid (Vercel, Claude Pro, domains, mileage, etc.).</t>
  </si>
  <si>
    <t xml:space="preserve">  •  Verify Net Income at the bottom of the column. Compare to last month — did it improve?</t>
  </si>
  <si>
    <t xml:space="preserve">  •  Update the Clients sheet if any new clients started or any churned.</t>
  </si>
  <si>
    <t xml:space="preserve">  •  Save the file. (Keep one master copy — don't make duplicates.)</t>
  </si>
  <si>
    <t xml:space="preserve">Quarterly tasks</t>
  </si>
  <si>
    <t xml:space="preserve">  •  Open Annual Summary sheet. Confirm the YTD numbers look right.</t>
  </si>
  <si>
    <t xml:space="preserve">  •  Review Gross Margin % and Net Margin %. Are they trending up or down?</t>
  </si>
  <si>
    <t xml:space="preserve">  •  Set aside estimated quarterly tax (typically ~25-30% of net profit). Move it to a separate savings account so it's not "available" cash.</t>
  </si>
  <si>
    <t xml:space="preserve">  •  If net profit is consistently positive, consider an accountant consultation.</t>
  </si>
  <si>
    <t xml:space="preserve">Year-end tasks (December)</t>
  </si>
  <si>
    <t xml:space="preserve">  •  Confirm every month has been filled in.</t>
  </si>
  <si>
    <t xml:space="preserve">  •  Save a copy as "NGFsystems-PL-2026-Final.xlsx" and freeze it (don't edit).</t>
  </si>
  <si>
    <t xml:space="preserve">  •  Send the Annual Summary sheet to your accountant for Schedule C / tax filing.</t>
  </si>
  <si>
    <t xml:space="preserve">  •  Create a new workbook for 2027 (or copy this one and clear the BLUE cells).</t>
  </si>
  <si>
    <t xml:space="preserve">  •  Compare YoY in the Annual Summary sheet — that's your growth story.</t>
  </si>
  <si>
    <t xml:space="preserve">NGFsystems — 2026 Profit &amp; Loss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</si>
  <si>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</si>
  <si>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</si>
  <si>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</si>
  <si>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</si>
  <si>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</si>
  <si>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</si>
  <si>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</si>
  <si>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</si>
  <si>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</si>
  <si>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</si>
  <si>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</si>
  <si>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</si>
  <si>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</si>
  <si>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</t>
  </si>
  <si>
    <t xml:space="preserve">Annual Proj.</t>
  </si>
  <si>
    <t xml:space="preserve">Notes</t>
  </si>
  <si>
    <t xml:space="preserve">INCOME</t>
  </si>
  <si>
    <t xml:space="preserve">Recurring revenue — Starter ($100/mo clients)</t>
  </si>
  <si>
    <t xml:space="preserve"># active Starter clients × $100</t>
  </si>
  <si>
    <t xml:space="preserve">Recurring revenue — Professional ($350/mo clients)</t>
  </si>
  <si>
    <t xml:space="preserve"># active Professional clients × $350</t>
  </si>
  <si>
    <t xml:space="preserve">Recurring revenue — Premium ($600/mo clients)</t>
  </si>
  <si>
    <t xml:space="preserve"># active Premium clients × $600</t>
  </si>
  <si>
    <t xml:space="preserve">Setup fees collected</t>
  </si>
  <si>
    <t xml:space="preserve">One-time setup charged when new client onboards</t>
  </si>
  <si>
    <t xml:space="preserve">One-time builds collected</t>
  </si>
  <si>
    <t xml:space="preserve">Essential / Business / Enterprise full-ownership builds</t>
  </si>
  <si>
    <t xml:space="preserve">Maintenance billables (hourly work)</t>
  </si>
  <si>
    <t xml:space="preserve">Out-of-scope work billed at $80/hr</t>
  </si>
  <si>
    <t xml:space="preserve">Other income</t>
  </si>
  <si>
    <t xml:space="preserve">Anything that doesn't fit above. Note category.</t>
  </si>
  <si>
    <t xml:space="preserve">TOTAL INCOME</t>
  </si>
  <si>
    <t xml:space="preserve">COST OF GOODS SOLD (direct per-client costs)</t>
  </si>
  <si>
    <t xml:space="preserve">Vercel — client site hosting</t>
  </si>
  <si>
    <t xml:space="preserve">Per-client Vercel project costs above free tier</t>
  </si>
  <si>
    <t xml:space="preserve">Domain renewals (allocated)</t>
  </si>
  <si>
    <t xml:space="preserve">Allocate client domain renewals here</t>
  </si>
  <si>
    <t xml:space="preserve">Email / Resend allocation</t>
  </si>
  <si>
    <t xml:space="preserve">Variable with email volume</t>
  </si>
  <si>
    <t xml:space="preserve">AI API for client support / edits</t>
  </si>
  <si>
    <t xml:space="preserve">Anthropic + OpenAI usage tied to client work</t>
  </si>
  <si>
    <t xml:space="preserve">TOTAL COGS</t>
  </si>
  <si>
    <t xml:space="preserve">GROSS PROFIT</t>
  </si>
  <si>
    <t xml:space="preserve">   Gross margin</t>
  </si>
  <si>
    <t xml:space="preserve">OPERATING EXPENSES</t>
  </si>
  <si>
    <t xml:space="preserve">Vercel Pro Plan (NGF main app)</t>
  </si>
  <si>
    <t xml:space="preserve">$20/mo flat. Verify each month — bill may include overages.</t>
  </si>
  <si>
    <t xml:space="preserve">Claude Pro / Anthropic API (dev usage)</t>
  </si>
  <si>
    <t xml:space="preserve">AI tooling cost for YOUR development work (not client-billed)</t>
  </si>
  <si>
    <t xml:space="preserve">NGF domains (.com / .org / .net)</t>
  </si>
  <si>
    <t xml:space="preserve">~$34/year combined, allocated monthly</t>
  </si>
  <si>
    <t xml:space="preserve">Software subscriptions (Cursor, Figma, GitHub, etc.)</t>
  </si>
  <si>
    <t xml:space="preserve">Itemize in your records; total here</t>
  </si>
  <si>
    <t xml:space="preserve">Mileage / travel</t>
  </si>
  <si>
    <t xml:space="preserve">Track in a log. IRS mileage rate × miles driven for business.</t>
  </si>
  <si>
    <t xml:space="preserve">Marketing &amp; advertising</t>
  </si>
  <si>
    <t xml:space="preserve">Ads, conference fees, business cards, etc.</t>
  </si>
  <si>
    <t xml:space="preserve">Professional services (accounting, legal)</t>
  </si>
  <si>
    <t xml:space="preserve">Accountant fees, lawyer consultations, NDA reviews</t>
  </si>
  <si>
    <t xml:space="preserve">Office / utilities (home office allocation)</t>
  </si>
  <si>
    <t xml:space="preserve">Home office % of rent, internet, phone, electric</t>
  </si>
  <si>
    <t xml:space="preserve">Bank fees / Stripe processing</t>
  </si>
  <si>
    <t xml:space="preserve">Stripe takes 2.9% + 30¢ per transaction. Add up monthly.</t>
  </si>
  <si>
    <t xml:space="preserve">Other operating expenses</t>
  </si>
  <si>
    <t xml:space="preserve">Anything else. Itemize in notes.</t>
  </si>
  <si>
    <t xml:space="preserve">TOTAL OPERATING EXPENSES</t>
  </si>
  <si>
    <t xml:space="preserve">NET INCOME</t>
  </si>
  <si>
    <t xml:space="preserve">   Net margin</t>
  </si>
  <si>
    <t xml:space="preserve">Running YTD net income</t>
  </si>
  <si>
    <t xml:space="preserve">Client Roster</t>
  </si>
  <si>
    <t xml:space="preserve">Add a row for each client. Status = "active" / "trial" / "churned" / "lead".</t>
  </si>
  <si>
    <t xml:space="preserve">Client Name</t>
  </si>
  <si>
    <t xml:space="preserve">Tier</t>
  </si>
  <si>
    <t xml:space="preserve">MRR ($)</t>
  </si>
  <si>
    <t xml:space="preserve">Setup Paid ($)</t>
  </si>
  <si>
    <t xml:space="preserve">Start Date</t>
  </si>
  <si>
    <t xml:space="preserve">Status</t>
  </si>
  <si>
    <t xml:space="preserve">NorthCove Builders</t>
  </si>
  <si>
    <t xml:space="preserve">Starter</t>
  </si>
  <si>
    <t xml:space="preserve">2026-04-01</t>
  </si>
  <si>
    <t xml:space="preserve">active</t>
  </si>
  <si>
    <t xml:space="preserve">First client. Friend pricing. Invoice not yet collected as of May 2026.</t>
  </si>
  <si>
    <t xml:space="preserve">Square K Vacations</t>
  </si>
  <si>
    <t xml:space="preserve">TBD</t>
  </si>
  <si>
    <t xml:space="preserve">2026-05-01</t>
  </si>
  <si>
    <t xml:space="preserve">trial</t>
  </si>
  <si>
    <t xml:space="preserve">Site built, not yet billed. Decide tier + start billing.</t>
  </si>
  <si>
    <t xml:space="preserve">WrenchTime Cycles</t>
  </si>
  <si>
    <t xml:space="preserve">Site built, not yet billed. Service-shop with external DB. Premium candidate.</t>
  </si>
  <si>
    <t xml:space="preserve">Jewelry business</t>
  </si>
  <si>
    <t xml:space="preserve">Essential (one-time)</t>
  </si>
  <si>
    <t xml:space="preserve">lead</t>
  </si>
  <si>
    <t xml:space="preserve">Verbal commit $600 one-time. Invoice this week.</t>
  </si>
  <si>
    <t xml:space="preserve">Total MRR (active clients):</t>
  </si>
  <si>
    <t xml:space="preserve">Annualized MRR:</t>
  </si>
  <si>
    <t xml:space="preserve">Active client count:</t>
  </si>
  <si>
    <t xml:space="preserve">NGFsystems — Annual Summary</t>
  </si>
  <si>
    <t xml:space="preserve">Year-by-year roll-up. Add a new column for each year going forward.</t>
  </si>
  <si>
    <t xml:space="preserve">Metric</t>
  </si>
  <si>
    <t xml:space="preserve">2026 (Current)</t>
  </si>
  <si>
    <t xml:space="preserve">2027</t>
  </si>
  <si>
    <t xml:space="preserve">2028</t>
  </si>
  <si>
    <t xml:space="preserve">2029</t>
  </si>
  <si>
    <t xml:space="preserve">2030</t>
  </si>
  <si>
    <t xml:space="preserve">Total Income</t>
  </si>
  <si>
    <t xml:space="preserve">Total COGS</t>
  </si>
  <si>
    <t xml:space="preserve">Gross Profit</t>
  </si>
  <si>
    <t xml:space="preserve">Gross Margin %</t>
  </si>
  <si>
    <t xml:space="preserve">Total Operating Expenses</t>
  </si>
  <si>
    <t xml:space="preserve">Net Margin %</t>
  </si>
  <si>
    <t xml:space="preserve">Active Clients (year-end)</t>
  </si>
  <si>
    <t xml:space="preserve">Annualized MRR (year-end)</t>
  </si>
  <si>
    <t xml:space="preserve">Year-end checklist</t>
  </si>
  <si>
    <t xml:space="preserve">  •  Confirm every month is filled in on the 2026 P&amp;L sheet</t>
  </si>
  <si>
    <t xml:space="preserve">  •  Save a frozen copy: NGFsystems-PL-2026-Final.xlsx</t>
  </si>
  <si>
    <t xml:space="preserve">  •  Update this Annual Summary by typing the YTD numbers into the 2026 column (so they don't drift if you edit the P&amp;L later)</t>
  </si>
  <si>
    <t xml:space="preserve">  •  Send Annual Summary to accountant for tax filing</t>
  </si>
  <si>
    <t xml:space="preserve">  •  Compare YoY metrics. If revenue grew but net margin shrunk, costs are scaling faster than revenue — investigate.</t>
  </si>
  <si>
    <t xml:space="preserve">  •  Open new workbook for next year and continue tracking.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</si>
</sst>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999900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b val="true"/>
      <i val="true"/>
      <sz val="10"/>
      <color rgb="FF66666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i val="true"/>
      <sz val="11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F0D9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9900"/>
      <rgbColor rgb="FF800080"/>
      <rgbColor rgb="FF008080"/>
      <rgbColor rgb="FFC0C0C0"/>
      <rgbColor rgb="FF808080"/>
      <rgbColor rgb="FF9999FF"/>
      <rgbColor rgb="FF993366"/>
      <rgbColor rgb="FFF2F2F2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E4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  <col collapsed="false" customWidth="true" hidden="false" outlineLevel="0" max="3" min="3" style="0" width="7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8" customFormat="false" ht="18" hidden="false" customHeight="true" outlineLevel="0" collapsed="false">
      <c r="B8" s="4" t="s">
        <v>4</v>
      </c>
    </row>
    <row r="9" customFormat="false" ht="18" hidden="false" customHeight="true" outlineLevel="0" collapsed="false">
      <c r="B9" s="4" t="s">
        <v>5</v>
      </c>
    </row>
    <row r="10" customFormat="false" ht="18" hidden="false" customHeight="true" outlineLevel="0" collapsed="false">
      <c r="B10" s="4" t="s">
        <v>6</v>
      </c>
    </row>
    <row r="11" customFormat="false" ht="18" hidden="false" customHeight="true" outlineLevel="0" collapsed="false">
      <c r="B11" s="4" t="s">
        <v>7</v>
      </c>
    </row>
    <row r="12" customFormat="false" ht="18" hidden="false" customHeight="true" outlineLevel="0" collapsed="false">
      <c r="B12" s="4" t="s">
        <v>8</v>
      </c>
    </row>
    <row r="13" customFormat="false" ht="27.7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6" customFormat="false" ht="17.3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5" t="s">
        <v>12</v>
      </c>
      <c r="C17" s="6" t="s">
        <v>13</v>
      </c>
    </row>
    <row r="18" customFormat="false" ht="15" hidden="false" customHeight="false" outlineLevel="0" collapsed="false">
      <c r="B18" s="7" t="s">
        <v>14</v>
      </c>
      <c r="C18" s="6" t="s">
        <v>15</v>
      </c>
    </row>
    <row r="19" customFormat="false" ht="15" hidden="false" customHeight="false" outlineLevel="0" collapsed="false">
      <c r="B19" s="8" t="s">
        <v>16</v>
      </c>
      <c r="C19" s="6" t="s">
        <v>17</v>
      </c>
    </row>
    <row r="20" customFormat="false" ht="15" hidden="false" customHeight="false" outlineLevel="0" collapsed="false">
      <c r="B20" s="9" t="s">
        <v>18</v>
      </c>
      <c r="C20" s="6" t="s">
        <v>19</v>
      </c>
    </row>
    <row r="22" customFormat="false" ht="17.35" hidden="false" customHeight="false" outlineLevel="0" collapsed="false">
      <c r="B22" s="3" t="s">
        <v>20</v>
      </c>
    </row>
    <row r="23" customFormat="false" ht="18" hidden="false" customHeight="true" outlineLevel="0" collapsed="false">
      <c r="B23" s="4" t="s">
        <v>21</v>
      </c>
    </row>
    <row r="24" customFormat="false" ht="18" hidden="false" customHeight="true" outlineLevel="0" collapsed="false">
      <c r="B24" s="4" t="s">
        <v>22</v>
      </c>
    </row>
    <row r="25" customFormat="false" ht="18" hidden="false" customHeight="true" outlineLevel="0" collapsed="false">
      <c r="B25" s="4" t="s">
        <v>23</v>
      </c>
    </row>
    <row r="26" customFormat="false" ht="18" hidden="false" customHeight="true" outlineLevel="0" collapsed="false">
      <c r="B26" s="4" t="s">
        <v>24</v>
      </c>
    </row>
    <row r="27" customFormat="false" ht="18" hidden="false" customHeight="true" outlineLevel="0" collapsed="false">
      <c r="B27" s="4" t="s">
        <v>25</v>
      </c>
    </row>
    <row r="28" customFormat="false" ht="18" hidden="false" customHeight="true" outlineLevel="0" collapsed="false">
      <c r="B28" s="4" t="s">
        <v>26</v>
      </c>
    </row>
    <row r="30" customFormat="false" ht="17.35" hidden="false" customHeight="false" outlineLevel="0" collapsed="false">
      <c r="B30" s="3" t="s">
        <v>27</v>
      </c>
    </row>
    <row r="31" customFormat="false" ht="18" hidden="false" customHeight="true" outlineLevel="0" collapsed="false">
      <c r="B31" s="4" t="s">
        <v>28</v>
      </c>
    </row>
    <row r="32" customFormat="false" ht="18" hidden="false" customHeight="true" outlineLevel="0" collapsed="false">
      <c r="B32" s="4" t="s">
        <v>29</v>
      </c>
    </row>
    <row r="33" customFormat="false" ht="27.75" hidden="false" customHeight="true" outlineLevel="0" collapsed="false">
      <c r="B33" s="4" t="s">
        <v>30</v>
      </c>
    </row>
    <row r="34" customFormat="false" ht="18" hidden="false" customHeight="true" outlineLevel="0" collapsed="false">
      <c r="B34" s="4" t="s">
        <v>31</v>
      </c>
    </row>
    <row r="36" customFormat="false" ht="17.35" hidden="false" customHeight="false" outlineLevel="0" collapsed="false">
      <c r="B36" s="3" t="s">
        <v>32</v>
      </c>
    </row>
    <row r="37" customFormat="false" ht="18" hidden="false" customHeight="true" outlineLevel="0" collapsed="false">
      <c r="B37" s="4" t="s">
        <v>33</v>
      </c>
    </row>
    <row r="38" customFormat="false" ht="18" hidden="false" customHeight="true" outlineLevel="0" collapsed="false">
      <c r="B38" s="4" t="s">
        <v>34</v>
      </c>
    </row>
    <row r="39" customFormat="false" ht="18" hidden="false" customHeight="true" outlineLevel="0" collapsed="false">
      <c r="B39" s="4" t="s">
        <v>35</v>
      </c>
    </row>
    <row r="40" customFormat="false" ht="18" hidden="false" customHeight="true" outlineLevel="0" collapsed="false">
      <c r="B40" s="4" t="s">
        <v>36</v>
      </c>
    </row>
    <row r="41" customFormat="false" ht="18" hidden="false" customHeight="true" outlineLevel="0" collapsed="false">
      <c r="B41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1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32"/>
  </cols>
  <sheetData>
    <row r="1" customFormat="false" ht="19.7" hidden="false" customHeight="false" outlineLevel="0" collapsed="false">
      <c r="A1" s="10" t="s">
        <v>38</v>
      </c>
    </row>
    <row r="3" customFormat="false" ht="21.75" hidden="false" customHeight="true" outlineLevel="0" collapsed="false">
      <c r="A3" s="11" t="s">
        <v>39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  <c r="I3" s="11" t="s">
        <v>47</v>
      </c>
      <c r="J3" s="11" t="s">
        <v>48</v>
      </c>
      <c r="K3" s="11" t="s">
        <v>49</v>
      </c>
      <c r="L3" s="11" t="s">
        <v>50</v>
      </c>
      <c r="M3" s="11" t="s">
        <v>51</v>
      </c>
      <c r="N3" s="11" t="s">
        <v>52</v>
      </c>
      <c r="O3" s="11" t="s">
        <v>53</v>
      </c>
      <c r="P3" s="11" t="s">
        <v>54</v>
      </c>
    </row>
    <row r="4" customFormat="false" ht="15" hidden="false" customHeight="false" outlineLevel="0" collapsed="false">
      <c r="A4" s="12" t="s">
        <v>55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false" outlineLevel="0" collapsed="false">
      <c r="A5" s="14" t="s">
        <v>56</v>
      </c>
      <c r="B5" s="15"/>
      <c r="C5" s="15"/>
      <c r="D5" s="15"/>
      <c r="E5" s="15"/>
      <c r="F5" s="15" t="n">
        <v>100</v>
      </c>
      <c r="G5" s="15"/>
      <c r="H5" s="15"/>
      <c r="I5" s="15"/>
      <c r="J5" s="15"/>
      <c r="K5" s="15"/>
      <c r="L5" s="15"/>
      <c r="M5" s="15"/>
      <c r="N5" s="16" t="n">
        <f aca="false">SUM(B5:M5)</f>
        <v>100</v>
      </c>
      <c r="O5" s="17" t="n">
        <f aca="false">IF(COUNT(B5:M5)=0,0,N5*12/COUNT(B5:M5))</f>
        <v>1200</v>
      </c>
      <c r="P5" s="18" t="s">
        <v>57</v>
      </c>
    </row>
    <row r="6" customFormat="false" ht="15" hidden="false" customHeight="false" outlineLevel="0" collapsed="false">
      <c r="A6" s="14" t="s">
        <v>58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 t="n">
        <f aca="false">SUM(B6:M6)</f>
        <v>0</v>
      </c>
      <c r="O6" s="17" t="n">
        <f aca="false">IF(COUNT(B6:M6)=0,0,N6*12/COUNT(B6:M6))</f>
        <v>0</v>
      </c>
      <c r="P6" s="18" t="s">
        <v>59</v>
      </c>
    </row>
    <row r="7" customFormat="false" ht="15" hidden="false" customHeight="false" outlineLevel="0" collapsed="false">
      <c r="A7" s="14" t="s">
        <v>60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 t="n">
        <f aca="false">SUM(B7:M7)</f>
        <v>0</v>
      </c>
      <c r="O7" s="17" t="n">
        <f aca="false">IF(COUNT(B7:M7)=0,0,N7*12/COUNT(B7:M7))</f>
        <v>0</v>
      </c>
      <c r="P7" s="18" t="s">
        <v>61</v>
      </c>
    </row>
    <row r="8" customFormat="false" ht="23.85" hidden="false" customHeight="false" outlineLevel="0" collapsed="false">
      <c r="A8" s="14" t="s">
        <v>62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 t="n">
        <f aca="false">SUM(B8:M8)</f>
        <v>0</v>
      </c>
      <c r="O8" s="17" t="n">
        <f aca="false">IF(COUNT(B8:M8)=0,0,N8*12/COUNT(B8:M8))</f>
        <v>0</v>
      </c>
      <c r="P8" s="18" t="s">
        <v>63</v>
      </c>
    </row>
    <row r="9" customFormat="false" ht="23.85" hidden="false" customHeight="false" outlineLevel="0" collapsed="false">
      <c r="A9" s="14" t="s">
        <v>64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 t="n">
        <f aca="false">SUM(B9:M9)</f>
        <v>0</v>
      </c>
      <c r="O9" s="17" t="n">
        <f aca="false">IF(COUNT(B9:M9)=0,0,N9*12/COUNT(B9:M9))</f>
        <v>0</v>
      </c>
      <c r="P9" s="18" t="s">
        <v>65</v>
      </c>
    </row>
    <row r="10" customFormat="false" ht="15" hidden="false" customHeight="false" outlineLevel="0" collapsed="false">
      <c r="A10" s="14" t="s">
        <v>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 t="n">
        <f aca="false">SUM(B10:M10)</f>
        <v>0</v>
      </c>
      <c r="O10" s="17" t="n">
        <f aca="false">IF(COUNT(B10:M10)=0,0,N10*12/COUNT(B10:M10))</f>
        <v>0</v>
      </c>
      <c r="P10" s="18" t="s">
        <v>67</v>
      </c>
    </row>
    <row r="11" customFormat="false" ht="23.85" hidden="false" customHeight="false" outlineLevel="0" collapsed="false">
      <c r="A11" s="14" t="s">
        <v>68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 t="n">
        <f aca="false">SUM(B11:M11)</f>
        <v>0</v>
      </c>
      <c r="O11" s="17" t="n">
        <f aca="false">IF(COUNT(B11:M11)=0,0,N11*12/COUNT(B11:M11))</f>
        <v>0</v>
      </c>
      <c r="P11" s="18" t="s">
        <v>69</v>
      </c>
    </row>
    <row r="12" customFormat="false" ht="15" hidden="false" customHeight="false" outlineLevel="0" collapsed="false">
      <c r="A12" s="19" t="s">
        <v>70</v>
      </c>
      <c r="B12" s="20" t="n">
        <f aca="false">SUM(B5:B11)</f>
        <v>0</v>
      </c>
      <c r="C12" s="20" t="n">
        <f aca="false">SUM(C5:C11)</f>
        <v>0</v>
      </c>
      <c r="D12" s="20" t="n">
        <f aca="false">SUM(D5:D11)</f>
        <v>0</v>
      </c>
      <c r="E12" s="20" t="n">
        <f aca="false">SUM(E5:E11)</f>
        <v>0</v>
      </c>
      <c r="F12" s="20" t="n">
        <f aca="false">SUM(F5:F11)</f>
        <v>100</v>
      </c>
      <c r="G12" s="20" t="n">
        <f aca="false">SUM(G5:G11)</f>
        <v>0</v>
      </c>
      <c r="H12" s="20" t="n">
        <f aca="false">SUM(H5:H11)</f>
        <v>0</v>
      </c>
      <c r="I12" s="20" t="n">
        <f aca="false">SUM(I5:I11)</f>
        <v>0</v>
      </c>
      <c r="J12" s="20" t="n">
        <f aca="false">SUM(J5:J11)</f>
        <v>0</v>
      </c>
      <c r="K12" s="20" t="n">
        <f aca="false">SUM(K5:K11)</f>
        <v>0</v>
      </c>
      <c r="L12" s="20" t="n">
        <f aca="false">SUM(L5:L11)</f>
        <v>0</v>
      </c>
      <c r="M12" s="20" t="n">
        <f aca="false">SUM(M5:M11)</f>
        <v>0</v>
      </c>
      <c r="N12" s="20" t="n">
        <f aca="false">SUM(B12:M12)</f>
        <v>100</v>
      </c>
      <c r="O12" s="20" t="n">
        <f aca="false">IF(COUNT(B11:M11)=0,0,N12*12/COUNT(B11:M11))</f>
        <v>0</v>
      </c>
    </row>
    <row r="14" customFormat="false" ht="15" hidden="false" customHeight="false" outlineLevel="0" collapsed="false">
      <c r="A14" s="12" t="s">
        <v>71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23.85" hidden="false" customHeight="false" outlineLevel="0" collapsed="false">
      <c r="A15" s="14" t="s">
        <v>72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 t="n">
        <f aca="false">SUM(B15:M15)</f>
        <v>0</v>
      </c>
      <c r="O15" s="17" t="n">
        <f aca="false">IF(COUNT(B15:M15)=0,0,N15*12/COUNT(B15:M15))</f>
        <v>0</v>
      </c>
      <c r="P15" s="18" t="s">
        <v>73</v>
      </c>
    </row>
    <row r="16" customFormat="false" ht="15" hidden="false" customHeight="false" outlineLevel="0" collapsed="false">
      <c r="A16" s="14" t="s">
        <v>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 t="n">
        <f aca="false">SUM(B16:M16)</f>
        <v>0</v>
      </c>
      <c r="O16" s="17" t="n">
        <f aca="false">IF(COUNT(B16:M16)=0,0,N16*12/COUNT(B16:M16))</f>
        <v>0</v>
      </c>
      <c r="P16" s="18" t="s">
        <v>75</v>
      </c>
    </row>
    <row r="17" customFormat="false" ht="15" hidden="false" customHeight="false" outlineLevel="0" collapsed="false">
      <c r="A17" s="14" t="s">
        <v>76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 t="n">
        <f aca="false">SUM(B17:M17)</f>
        <v>0</v>
      </c>
      <c r="O17" s="17" t="n">
        <f aca="false">IF(COUNT(B17:M17)=0,0,N17*12/COUNT(B17:M17))</f>
        <v>0</v>
      </c>
      <c r="P17" s="18" t="s">
        <v>77</v>
      </c>
    </row>
    <row r="18" customFormat="false" ht="23.85" hidden="false" customHeight="false" outlineLevel="0" collapsed="false">
      <c r="A18" s="14" t="s">
        <v>78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 t="n">
        <f aca="false">SUM(B18:M18)</f>
        <v>0</v>
      </c>
      <c r="O18" s="17" t="n">
        <f aca="false">IF(COUNT(B18:M18)=0,0,N18*12/COUNT(B18:M18))</f>
        <v>0</v>
      </c>
      <c r="P18" s="18" t="s">
        <v>79</v>
      </c>
    </row>
    <row r="19" customFormat="false" ht="15" hidden="false" customHeight="false" outlineLevel="0" collapsed="false">
      <c r="A19" s="21" t="s">
        <v>80</v>
      </c>
      <c r="B19" s="22" t="n">
        <f aca="false">SUM(B15:B18)</f>
        <v>0</v>
      </c>
      <c r="C19" s="22" t="n">
        <f aca="false">SUM(C15:C18)</f>
        <v>0</v>
      </c>
      <c r="D19" s="22" t="n">
        <f aca="false">SUM(D15:D18)</f>
        <v>0</v>
      </c>
      <c r="E19" s="22" t="n">
        <f aca="false">SUM(E15:E18)</f>
        <v>0</v>
      </c>
      <c r="F19" s="22" t="n">
        <f aca="false">SUM(F15:F18)</f>
        <v>0</v>
      </c>
      <c r="G19" s="22" t="n">
        <f aca="false">SUM(G15:G18)</f>
        <v>0</v>
      </c>
      <c r="H19" s="22" t="n">
        <f aca="false">SUM(H15:H18)</f>
        <v>0</v>
      </c>
      <c r="I19" s="22" t="n">
        <f aca="false">SUM(I15:I18)</f>
        <v>0</v>
      </c>
      <c r="J19" s="22" t="n">
        <f aca="false">SUM(J15:J18)</f>
        <v>0</v>
      </c>
      <c r="K19" s="22" t="n">
        <f aca="false">SUM(K15:K18)</f>
        <v>0</v>
      </c>
      <c r="L19" s="22" t="n">
        <f aca="false">SUM(L15:L18)</f>
        <v>0</v>
      </c>
      <c r="M19" s="22" t="n">
        <f aca="false">SUM(M15:M18)</f>
        <v>0</v>
      </c>
      <c r="N19" s="22" t="n">
        <f aca="false">SUM(B19:M19)</f>
        <v>0</v>
      </c>
      <c r="O19" s="22" t="n">
        <f aca="false">IF(COUNT(B18:M18)=0,0,N19*12/COUNT(B18:M18))</f>
        <v>0</v>
      </c>
    </row>
    <row r="21" customFormat="false" ht="15" hidden="false" customHeight="false" outlineLevel="0" collapsed="false">
      <c r="A21" s="19" t="s">
        <v>81</v>
      </c>
      <c r="B21" s="20" t="n">
        <f aca="false">B12-B19</f>
        <v>0</v>
      </c>
      <c r="C21" s="20" t="n">
        <f aca="false">C12-C19</f>
        <v>0</v>
      </c>
      <c r="D21" s="20" t="n">
        <f aca="false">D12-D19</f>
        <v>0</v>
      </c>
      <c r="E21" s="20" t="n">
        <f aca="false">E12-E19</f>
        <v>0</v>
      </c>
      <c r="F21" s="20" t="n">
        <f aca="false">F12-F19</f>
        <v>100</v>
      </c>
      <c r="G21" s="20" t="n">
        <f aca="false">G12-G19</f>
        <v>0</v>
      </c>
      <c r="H21" s="20" t="n">
        <f aca="false">H12-H19</f>
        <v>0</v>
      </c>
      <c r="I21" s="20" t="n">
        <f aca="false">I12-I19</f>
        <v>0</v>
      </c>
      <c r="J21" s="20" t="n">
        <f aca="false">J12-J19</f>
        <v>0</v>
      </c>
      <c r="K21" s="20" t="n">
        <f aca="false">K12-K19</f>
        <v>0</v>
      </c>
      <c r="L21" s="20" t="n">
        <f aca="false">L12-L19</f>
        <v>0</v>
      </c>
      <c r="M21" s="20" t="n">
        <f aca="false">M12-M19</f>
        <v>0</v>
      </c>
      <c r="N21" s="20" t="n">
        <f aca="false">SUM(B21:M21)</f>
        <v>100</v>
      </c>
      <c r="O21" s="20" t="n">
        <f aca="false">IF(COUNT(B20:M20)=0,0,N21*12/COUNT(B20:M20))</f>
        <v>0</v>
      </c>
    </row>
    <row r="22" customFormat="false" ht="15" hidden="false" customHeight="false" outlineLevel="0" collapsed="false">
      <c r="A22" s="23" t="s">
        <v>82</v>
      </c>
      <c r="B22" s="24" t="n">
        <f aca="false">IFERROR(B21/B12,0)</f>
        <v>0</v>
      </c>
      <c r="C22" s="24" t="n">
        <f aca="false">IFERROR(C21/C12,0)</f>
        <v>0</v>
      </c>
      <c r="D22" s="24" t="n">
        <f aca="false">IFERROR(D21/D12,0)</f>
        <v>0</v>
      </c>
      <c r="E22" s="24" t="n">
        <f aca="false">IFERROR(E21/E12,0)</f>
        <v>0</v>
      </c>
      <c r="F22" s="24" t="n">
        <f aca="false">IFERROR(F21/F12,0)</f>
        <v>1</v>
      </c>
      <c r="G22" s="24" t="n">
        <f aca="false">IFERROR(G21/G12,0)</f>
        <v>0</v>
      </c>
      <c r="H22" s="24" t="n">
        <f aca="false">IFERROR(H21/H12,0)</f>
        <v>0</v>
      </c>
      <c r="I22" s="24" t="n">
        <f aca="false">IFERROR(I21/I12,0)</f>
        <v>0</v>
      </c>
      <c r="J22" s="24" t="n">
        <f aca="false">IFERROR(J21/J12,0)</f>
        <v>0</v>
      </c>
      <c r="K22" s="24" t="n">
        <f aca="false">IFERROR(K21/K12,0)</f>
        <v>0</v>
      </c>
      <c r="L22" s="24" t="n">
        <f aca="false">IFERROR(L21/L12,0)</f>
        <v>0</v>
      </c>
      <c r="M22" s="24" t="n">
        <f aca="false">IFERROR(M21/M12,0)</f>
        <v>0</v>
      </c>
      <c r="N22" s="25" t="n">
        <f aca="false">IFERROR(N21/N12,0)</f>
        <v>1</v>
      </c>
      <c r="O22" s="26"/>
    </row>
    <row r="24" customFormat="false" ht="15" hidden="false" customHeight="false" outlineLevel="0" collapsed="false">
      <c r="A24" s="12" t="s">
        <v>83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23.85" hidden="false" customHeight="false" outlineLevel="0" collapsed="false">
      <c r="A25" s="14" t="s">
        <v>84</v>
      </c>
      <c r="B25" s="15" t="n">
        <v>20</v>
      </c>
      <c r="C25" s="15" t="n">
        <v>20</v>
      </c>
      <c r="D25" s="15" t="n">
        <v>20</v>
      </c>
      <c r="E25" s="15" t="n">
        <v>20</v>
      </c>
      <c r="F25" s="15" t="n">
        <v>20</v>
      </c>
      <c r="G25" s="15" t="n">
        <v>20</v>
      </c>
      <c r="H25" s="15" t="n">
        <v>20</v>
      </c>
      <c r="I25" s="15" t="n">
        <v>20</v>
      </c>
      <c r="J25" s="15" t="n">
        <v>20</v>
      </c>
      <c r="K25" s="15" t="n">
        <v>20</v>
      </c>
      <c r="L25" s="15" t="n">
        <v>20</v>
      </c>
      <c r="M25" s="15" t="n">
        <v>20</v>
      </c>
      <c r="N25" s="16" t="n">
        <f aca="false">SUM(B25:M25)</f>
        <v>240</v>
      </c>
      <c r="O25" s="17" t="n">
        <f aca="false">IF(COUNT(B25:M25)=0,0,N25*12/COUNT(B25:M25))</f>
        <v>240</v>
      </c>
      <c r="P25" s="18" t="s">
        <v>85</v>
      </c>
    </row>
    <row r="26" customFormat="false" ht="23.85" hidden="false" customHeight="false" outlineLevel="0" collapsed="false">
      <c r="A26" s="14" t="s">
        <v>86</v>
      </c>
      <c r="B26" s="15" t="n">
        <v>100</v>
      </c>
      <c r="C26" s="15" t="n">
        <v>100</v>
      </c>
      <c r="D26" s="15" t="n">
        <v>100</v>
      </c>
      <c r="E26" s="15" t="n">
        <v>100</v>
      </c>
      <c r="F26" s="15" t="n">
        <v>100</v>
      </c>
      <c r="G26" s="15" t="n">
        <v>100</v>
      </c>
      <c r="H26" s="15" t="n">
        <v>100</v>
      </c>
      <c r="I26" s="15" t="n">
        <v>100</v>
      </c>
      <c r="J26" s="15" t="n">
        <v>100</v>
      </c>
      <c r="K26" s="15" t="n">
        <v>100</v>
      </c>
      <c r="L26" s="15" t="n">
        <v>100</v>
      </c>
      <c r="M26" s="15" t="n">
        <v>100</v>
      </c>
      <c r="N26" s="16" t="n">
        <f aca="false">SUM(B26:M26)</f>
        <v>1200</v>
      </c>
      <c r="O26" s="17" t="n">
        <f aca="false">IF(COUNT(B26:M26)=0,0,N26*12/COUNT(B26:M26))</f>
        <v>1200</v>
      </c>
      <c r="P26" s="18" t="s">
        <v>87</v>
      </c>
    </row>
    <row r="27" customFormat="false" ht="15" hidden="false" customHeight="false" outlineLevel="0" collapsed="false">
      <c r="A27" s="14" t="s">
        <v>88</v>
      </c>
      <c r="B27" s="15" t="n">
        <v>3</v>
      </c>
      <c r="C27" s="15" t="n">
        <v>3</v>
      </c>
      <c r="D27" s="15" t="n">
        <v>3</v>
      </c>
      <c r="E27" s="15" t="n">
        <v>3</v>
      </c>
      <c r="F27" s="15" t="n">
        <v>3</v>
      </c>
      <c r="G27" s="15" t="n">
        <v>3</v>
      </c>
      <c r="H27" s="15" t="n">
        <v>3</v>
      </c>
      <c r="I27" s="15" t="n">
        <v>3</v>
      </c>
      <c r="J27" s="15" t="n">
        <v>3</v>
      </c>
      <c r="K27" s="15" t="n">
        <v>3</v>
      </c>
      <c r="L27" s="15" t="n">
        <v>3</v>
      </c>
      <c r="M27" s="15" t="n">
        <v>3</v>
      </c>
      <c r="N27" s="16" t="n">
        <f aca="false">SUM(B27:M27)</f>
        <v>36</v>
      </c>
      <c r="O27" s="17" t="n">
        <f aca="false">IF(COUNT(B27:M27)=0,0,N27*12/COUNT(B27:M27))</f>
        <v>36</v>
      </c>
      <c r="P27" s="18" t="s">
        <v>89</v>
      </c>
    </row>
    <row r="28" customFormat="false" ht="15" hidden="false" customHeight="false" outlineLevel="0" collapsed="false">
      <c r="A28" s="14" t="s">
        <v>90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 t="n">
        <f aca="false">SUM(B28:M28)</f>
        <v>0</v>
      </c>
      <c r="O28" s="17" t="n">
        <f aca="false">IF(COUNT(B28:M28)=0,0,N28*12/COUNT(B28:M28))</f>
        <v>0</v>
      </c>
      <c r="P28" s="18" t="s">
        <v>91</v>
      </c>
    </row>
    <row r="29" customFormat="false" ht="23.85" hidden="false" customHeight="false" outlineLevel="0" collapsed="false">
      <c r="A29" s="14" t="s">
        <v>92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 t="n">
        <f aca="false">SUM(B29:M29)</f>
        <v>0</v>
      </c>
      <c r="O29" s="17" t="n">
        <f aca="false">IF(COUNT(B29:M29)=0,0,N29*12/COUNT(B29:M29))</f>
        <v>0</v>
      </c>
      <c r="P29" s="18" t="s">
        <v>93</v>
      </c>
    </row>
    <row r="30" customFormat="false" ht="23.85" hidden="false" customHeight="false" outlineLevel="0" collapsed="false">
      <c r="A30" s="14" t="s">
        <v>94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 t="n">
        <f aca="false">SUM(B30:M30)</f>
        <v>0</v>
      </c>
      <c r="O30" s="17" t="n">
        <f aca="false">IF(COUNT(B30:M30)=0,0,N30*12/COUNT(B30:M30))</f>
        <v>0</v>
      </c>
      <c r="P30" s="18" t="s">
        <v>95</v>
      </c>
    </row>
    <row r="31" customFormat="false" ht="23.85" hidden="false" customHeight="false" outlineLevel="0" collapsed="false">
      <c r="A31" s="14" t="s">
        <v>96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 t="n">
        <f aca="false">SUM(B31:M31)</f>
        <v>0</v>
      </c>
      <c r="O31" s="17" t="n">
        <f aca="false">IF(COUNT(B31:M31)=0,0,N31*12/COUNT(B31:M31))</f>
        <v>0</v>
      </c>
      <c r="P31" s="18" t="s">
        <v>97</v>
      </c>
    </row>
    <row r="32" customFormat="false" ht="23.85" hidden="false" customHeight="false" outlineLevel="0" collapsed="false">
      <c r="A32" s="14" t="s">
        <v>98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 t="n">
        <f aca="false">SUM(B32:M32)</f>
        <v>0</v>
      </c>
      <c r="O32" s="17" t="n">
        <f aca="false">IF(COUNT(B32:M32)=0,0,N32*12/COUNT(B32:M32))</f>
        <v>0</v>
      </c>
      <c r="P32" s="18" t="s">
        <v>99</v>
      </c>
    </row>
    <row r="33" customFormat="false" ht="23.85" hidden="false" customHeight="false" outlineLevel="0" collapsed="false">
      <c r="A33" s="14" t="s">
        <v>100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 t="n">
        <f aca="false">SUM(B33:M33)</f>
        <v>0</v>
      </c>
      <c r="O33" s="17" t="n">
        <f aca="false">IF(COUNT(B33:M33)=0,0,N33*12/COUNT(B33:M33))</f>
        <v>0</v>
      </c>
      <c r="P33" s="18" t="s">
        <v>101</v>
      </c>
    </row>
    <row r="34" customFormat="false" ht="15" hidden="false" customHeight="false" outlineLevel="0" collapsed="false">
      <c r="A34" s="14" t="s">
        <v>102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 t="n">
        <f aca="false">SUM(B34:M34)</f>
        <v>0</v>
      </c>
      <c r="O34" s="17" t="n">
        <f aca="false">IF(COUNT(B34:M34)=0,0,N34*12/COUNT(B34:M34))</f>
        <v>0</v>
      </c>
      <c r="P34" s="18" t="s">
        <v>103</v>
      </c>
    </row>
    <row r="35" customFormat="false" ht="15" hidden="false" customHeight="false" outlineLevel="0" collapsed="false">
      <c r="A35" s="21" t="s">
        <v>104</v>
      </c>
      <c r="B35" s="22" t="n">
        <f aca="false">SUM(B25:B34)</f>
        <v>123</v>
      </c>
      <c r="C35" s="22" t="n">
        <f aca="false">SUM(C25:C34)</f>
        <v>123</v>
      </c>
      <c r="D35" s="22" t="n">
        <f aca="false">SUM(D25:D34)</f>
        <v>123</v>
      </c>
      <c r="E35" s="22" t="n">
        <f aca="false">SUM(E25:E34)</f>
        <v>123</v>
      </c>
      <c r="F35" s="22" t="n">
        <f aca="false">SUM(F25:F34)</f>
        <v>123</v>
      </c>
      <c r="G35" s="22" t="n">
        <f aca="false">SUM(G25:G34)</f>
        <v>123</v>
      </c>
      <c r="H35" s="22" t="n">
        <f aca="false">SUM(H25:H34)</f>
        <v>123</v>
      </c>
      <c r="I35" s="22" t="n">
        <f aca="false">SUM(I25:I34)</f>
        <v>123</v>
      </c>
      <c r="J35" s="22" t="n">
        <f aca="false">SUM(J25:J34)</f>
        <v>123</v>
      </c>
      <c r="K35" s="22" t="n">
        <f aca="false">SUM(K25:K34)</f>
        <v>123</v>
      </c>
      <c r="L35" s="22" t="n">
        <f aca="false">SUM(L25:L34)</f>
        <v>123</v>
      </c>
      <c r="M35" s="22" t="n">
        <f aca="false">SUM(M25:M34)</f>
        <v>123</v>
      </c>
      <c r="N35" s="22" t="n">
        <f aca="false">SUM(B35:M35)</f>
        <v>1476</v>
      </c>
      <c r="O35" s="22" t="n">
        <f aca="false">IF(COUNT(B34:M34)=0,0,N35*12/COUNT(B34:M34))</f>
        <v>0</v>
      </c>
    </row>
    <row r="37" customFormat="false" ht="15" hidden="false" customHeight="false" outlineLevel="0" collapsed="false">
      <c r="A37" s="19" t="s">
        <v>105</v>
      </c>
      <c r="B37" s="20" t="n">
        <f aca="false">B21-B35</f>
        <v>-123</v>
      </c>
      <c r="C37" s="20" t="n">
        <f aca="false">C21-C35</f>
        <v>-123</v>
      </c>
      <c r="D37" s="20" t="n">
        <f aca="false">D21-D35</f>
        <v>-123</v>
      </c>
      <c r="E37" s="20" t="n">
        <f aca="false">E21-E35</f>
        <v>-123</v>
      </c>
      <c r="F37" s="20" t="n">
        <f aca="false">F21-F35</f>
        <v>-23</v>
      </c>
      <c r="G37" s="20" t="n">
        <f aca="false">G21-G35</f>
        <v>-123</v>
      </c>
      <c r="H37" s="20" t="n">
        <f aca="false">H21-H35</f>
        <v>-123</v>
      </c>
      <c r="I37" s="20" t="n">
        <f aca="false">I21-I35</f>
        <v>-123</v>
      </c>
      <c r="J37" s="20" t="n">
        <f aca="false">J21-J35</f>
        <v>-123</v>
      </c>
      <c r="K37" s="20" t="n">
        <f aca="false">K21-K35</f>
        <v>-123</v>
      </c>
      <c r="L37" s="20" t="n">
        <f aca="false">L21-L35</f>
        <v>-123</v>
      </c>
      <c r="M37" s="20" t="n">
        <f aca="false">M21-M35</f>
        <v>-123</v>
      </c>
      <c r="N37" s="20" t="n">
        <f aca="false">SUM(B37:M37)</f>
        <v>-1376</v>
      </c>
      <c r="O37" s="20" t="n">
        <f aca="false">IF(COUNT(B36:M36)=0,0,N37*12/COUNT(B36:M36))</f>
        <v>0</v>
      </c>
    </row>
    <row r="38" customFormat="false" ht="15" hidden="false" customHeight="false" outlineLevel="0" collapsed="false">
      <c r="A38" s="23" t="s">
        <v>106</v>
      </c>
      <c r="B38" s="24" t="n">
        <f aca="false">IFERROR(B37/B12,0)</f>
        <v>0</v>
      </c>
      <c r="C38" s="24" t="n">
        <f aca="false">IFERROR(C37/C12,0)</f>
        <v>0</v>
      </c>
      <c r="D38" s="24" t="n">
        <f aca="false">IFERROR(D37/D12,0)</f>
        <v>0</v>
      </c>
      <c r="E38" s="24" t="n">
        <f aca="false">IFERROR(E37/E12,0)</f>
        <v>0</v>
      </c>
      <c r="F38" s="24" t="n">
        <f aca="false">IFERROR(F37/F12,0)</f>
        <v>-0.23</v>
      </c>
      <c r="G38" s="24" t="n">
        <f aca="false">IFERROR(G37/G12,0)</f>
        <v>0</v>
      </c>
      <c r="H38" s="24" t="n">
        <f aca="false">IFERROR(H37/H12,0)</f>
        <v>0</v>
      </c>
      <c r="I38" s="24" t="n">
        <f aca="false">IFERROR(I37/I12,0)</f>
        <v>0</v>
      </c>
      <c r="J38" s="24" t="n">
        <f aca="false">IFERROR(J37/J12,0)</f>
        <v>0</v>
      </c>
      <c r="K38" s="24" t="n">
        <f aca="false">IFERROR(K37/K12,0)</f>
        <v>0</v>
      </c>
      <c r="L38" s="24" t="n">
        <f aca="false">IFERROR(L37/L12,0)</f>
        <v>0</v>
      </c>
      <c r="M38" s="24" t="n">
        <f aca="false">IFERROR(M37/M12,0)</f>
        <v>0</v>
      </c>
      <c r="N38" s="25" t="n">
        <f aca="false">IFERROR(N37/N12,0)</f>
        <v>-13.76</v>
      </c>
      <c r="O38" s="26"/>
    </row>
    <row r="40" customFormat="false" ht="15" hidden="false" customHeight="false" outlineLevel="0" collapsed="false">
      <c r="A40" s="27" t="s">
        <v>107</v>
      </c>
      <c r="B40" s="28" t="n">
        <f aca="false">B37</f>
        <v>-123</v>
      </c>
      <c r="C40" s="28" t="n">
        <f aca="false">B40+C37</f>
        <v>-246</v>
      </c>
      <c r="D40" s="28" t="n">
        <f aca="false">C40+D37</f>
        <v>-369</v>
      </c>
      <c r="E40" s="28" t="n">
        <f aca="false">D40+E37</f>
        <v>-492</v>
      </c>
      <c r="F40" s="28" t="n">
        <f aca="false">E40+F37</f>
        <v>-515</v>
      </c>
      <c r="G40" s="28" t="n">
        <f aca="false">F40+G37</f>
        <v>-638</v>
      </c>
      <c r="H40" s="28" t="n">
        <f aca="false">G40+H37</f>
        <v>-761</v>
      </c>
      <c r="I40" s="28" t="n">
        <f aca="false">H40+I37</f>
        <v>-884</v>
      </c>
      <c r="J40" s="28" t="n">
        <f aca="false">I40+J37</f>
        <v>-1007</v>
      </c>
      <c r="K40" s="28" t="n">
        <f aca="false">J40+K37</f>
        <v>-1130</v>
      </c>
      <c r="L40" s="28" t="n">
        <f aca="false">K40+L37</f>
        <v>-1253</v>
      </c>
      <c r="M40" s="28" t="n">
        <f aca="false">L40+M37</f>
        <v>-1376</v>
      </c>
      <c r="N40" s="28" t="n">
        <f aca="false">M40</f>
        <v>-1376</v>
      </c>
      <c r="O40" s="28" t="n">
        <f aca="false">O37</f>
        <v>0</v>
      </c>
    </row>
  </sheetData>
  <conditionalFormatting sqref="B37:O3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0" t="s">
        <v>108</v>
      </c>
    </row>
    <row r="2" customFormat="false" ht="15" hidden="false" customHeight="false" outlineLevel="0" collapsed="false">
      <c r="A2" s="6" t="s">
        <v>109</v>
      </c>
    </row>
    <row r="4" customFormat="false" ht="21.75" hidden="false" customHeight="true" outlineLevel="0" collapsed="false">
      <c r="A4" s="11" t="s">
        <v>110</v>
      </c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11" t="s">
        <v>54</v>
      </c>
    </row>
    <row r="5" customFormat="false" ht="26.85" hidden="false" customHeight="false" outlineLevel="0" collapsed="false">
      <c r="A5" s="29" t="s">
        <v>116</v>
      </c>
      <c r="B5" s="30" t="s">
        <v>117</v>
      </c>
      <c r="C5" s="15" t="n">
        <v>100</v>
      </c>
      <c r="D5" s="15" t="n">
        <v>0</v>
      </c>
      <c r="E5" s="29" t="s">
        <v>118</v>
      </c>
      <c r="F5" s="29" t="s">
        <v>119</v>
      </c>
      <c r="G5" s="31" t="s">
        <v>120</v>
      </c>
    </row>
    <row r="6" customFormat="false" ht="15" hidden="false" customHeight="false" outlineLevel="0" collapsed="false">
      <c r="A6" s="29" t="s">
        <v>121</v>
      </c>
      <c r="B6" s="30" t="s">
        <v>122</v>
      </c>
      <c r="C6" s="15" t="n">
        <v>0</v>
      </c>
      <c r="D6" s="15" t="n">
        <v>0</v>
      </c>
      <c r="E6" s="29" t="s">
        <v>123</v>
      </c>
      <c r="F6" s="29" t="s">
        <v>124</v>
      </c>
      <c r="G6" s="31" t="s">
        <v>125</v>
      </c>
    </row>
    <row r="7" customFormat="false" ht="26.85" hidden="false" customHeight="false" outlineLevel="0" collapsed="false">
      <c r="A7" s="29" t="s">
        <v>126</v>
      </c>
      <c r="B7" s="30" t="s">
        <v>122</v>
      </c>
      <c r="C7" s="15" t="n">
        <v>0</v>
      </c>
      <c r="D7" s="15" t="n">
        <v>0</v>
      </c>
      <c r="E7" s="29"/>
      <c r="F7" s="29" t="s">
        <v>124</v>
      </c>
      <c r="G7" s="31" t="s">
        <v>127</v>
      </c>
    </row>
    <row r="8" customFormat="false" ht="15" hidden="false" customHeight="false" outlineLevel="0" collapsed="false">
      <c r="A8" s="29" t="s">
        <v>128</v>
      </c>
      <c r="B8" s="30" t="s">
        <v>129</v>
      </c>
      <c r="C8" s="15" t="n">
        <v>0</v>
      </c>
      <c r="D8" s="15" t="n">
        <v>0</v>
      </c>
      <c r="E8" s="29"/>
      <c r="F8" s="29" t="s">
        <v>130</v>
      </c>
      <c r="G8" s="31" t="s">
        <v>131</v>
      </c>
    </row>
    <row r="11" customFormat="false" ht="15" hidden="false" customHeight="false" outlineLevel="0" collapsed="false">
      <c r="A11" s="32" t="s">
        <v>132</v>
      </c>
      <c r="C11" s="33" t="n">
        <f aca="false">SUMIF(F5:F100,"active",C5:C100)</f>
        <v>100</v>
      </c>
    </row>
    <row r="12" customFormat="false" ht="15" hidden="false" customHeight="false" outlineLevel="0" collapsed="false">
      <c r="A12" s="32" t="s">
        <v>133</v>
      </c>
      <c r="C12" s="33" t="n">
        <f aca="false">C11*12</f>
        <v>1200</v>
      </c>
    </row>
    <row r="13" customFormat="false" ht="15" hidden="false" customHeight="false" outlineLevel="0" collapsed="false">
      <c r="A13" s="32" t="s">
        <v>134</v>
      </c>
      <c r="C13" s="34" t="n">
        <f aca="false">COUNTIF(F5:F100,"active")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0" t="s">
        <v>135</v>
      </c>
    </row>
    <row r="2" customFormat="false" ht="15" hidden="false" customHeight="false" outlineLevel="0" collapsed="false">
      <c r="A2" s="6" t="s">
        <v>136</v>
      </c>
    </row>
    <row r="4" customFormat="false" ht="21.75" hidden="false" customHeight="true" outlineLevel="0" collapsed="false">
      <c r="A4" s="11" t="s">
        <v>137</v>
      </c>
      <c r="B4" s="11" t="s">
        <v>138</v>
      </c>
      <c r="C4" s="11" t="s">
        <v>139</v>
      </c>
      <c r="D4" s="11" t="s">
        <v>140</v>
      </c>
      <c r="E4" s="11" t="s">
        <v>141</v>
      </c>
      <c r="F4" s="11" t="s">
        <v>142</v>
      </c>
    </row>
    <row r="5" customFormat="false" ht="15" hidden="false" customHeight="false" outlineLevel="0" collapsed="false">
      <c r="A5" s="35" t="s">
        <v>143</v>
      </c>
      <c r="B5" s="36" t="n">
        <f aca="false">'2026 P&amp;L'!N12</f>
        <v>100</v>
      </c>
      <c r="C5" s="37"/>
      <c r="D5" s="37"/>
      <c r="E5" s="37"/>
      <c r="F5" s="37"/>
    </row>
    <row r="6" customFormat="false" ht="15" hidden="false" customHeight="false" outlineLevel="0" collapsed="false">
      <c r="A6" s="38" t="s">
        <v>144</v>
      </c>
      <c r="B6" s="39" t="n">
        <f aca="false">'2026 P&amp;L'!N19</f>
        <v>0</v>
      </c>
      <c r="C6" s="40"/>
      <c r="D6" s="40"/>
      <c r="E6" s="40"/>
      <c r="F6" s="40"/>
    </row>
    <row r="7" customFormat="false" ht="15" hidden="false" customHeight="false" outlineLevel="0" collapsed="false">
      <c r="A7" s="35" t="s">
        <v>145</v>
      </c>
      <c r="B7" s="36" t="n">
        <f aca="false">'2026 P&amp;L'!N21</f>
        <v>100</v>
      </c>
      <c r="C7" s="37"/>
      <c r="D7" s="37"/>
      <c r="E7" s="37"/>
      <c r="F7" s="37"/>
    </row>
    <row r="8" customFormat="false" ht="15" hidden="false" customHeight="false" outlineLevel="0" collapsed="false">
      <c r="A8" s="41" t="s">
        <v>146</v>
      </c>
      <c r="B8" s="42" t="n">
        <f aca="false">IFERROR('2026 P&amp;L'!N21/'2026 P&amp;L'!N12,0)</f>
        <v>1</v>
      </c>
      <c r="C8" s="43"/>
      <c r="D8" s="43"/>
      <c r="E8" s="43"/>
      <c r="F8" s="43"/>
    </row>
    <row r="9" customFormat="false" ht="15" hidden="false" customHeight="false" outlineLevel="0" collapsed="false">
      <c r="A9" s="38" t="s">
        <v>147</v>
      </c>
      <c r="B9" s="39" t="n">
        <f aca="false">'2026 P&amp;L'!N35</f>
        <v>1476</v>
      </c>
      <c r="C9" s="40"/>
      <c r="D9" s="40"/>
      <c r="E9" s="40"/>
      <c r="F9" s="40"/>
    </row>
    <row r="10" customFormat="false" ht="15" hidden="false" customHeight="false" outlineLevel="0" collapsed="false">
      <c r="A10" s="35" t="s">
        <v>105</v>
      </c>
      <c r="B10" s="36" t="n">
        <f aca="false">'2026 P&amp;L'!N37</f>
        <v>-1376</v>
      </c>
      <c r="C10" s="37"/>
      <c r="D10" s="37"/>
      <c r="E10" s="37"/>
      <c r="F10" s="37"/>
    </row>
    <row r="11" customFormat="false" ht="15" hidden="false" customHeight="false" outlineLevel="0" collapsed="false">
      <c r="A11" s="41" t="s">
        <v>148</v>
      </c>
      <c r="B11" s="42" t="n">
        <f aca="false">IFERROR('2026 P&amp;L'!N37/'2026 P&amp;L'!N12,0)</f>
        <v>-13.76</v>
      </c>
      <c r="C11" s="43"/>
      <c r="D11" s="43"/>
      <c r="E11" s="43"/>
      <c r="F11" s="43"/>
    </row>
    <row r="12" customFormat="false" ht="15" hidden="false" customHeight="false" outlineLevel="0" collapsed="false">
      <c r="A12" s="41" t="s">
        <v>149</v>
      </c>
      <c r="B12" s="44" t="n">
        <f aca="false">Clients!C13</f>
        <v>1</v>
      </c>
      <c r="C12" s="30"/>
      <c r="D12" s="30"/>
      <c r="E12" s="30"/>
      <c r="F12" s="30"/>
    </row>
    <row r="13" customFormat="false" ht="15" hidden="false" customHeight="false" outlineLevel="0" collapsed="false">
      <c r="A13" s="41" t="s">
        <v>150</v>
      </c>
      <c r="B13" s="45" t="n">
        <f aca="false">Clients!C12</f>
        <v>1200</v>
      </c>
      <c r="C13" s="15"/>
      <c r="D13" s="15"/>
      <c r="E13" s="15"/>
      <c r="F13" s="15"/>
    </row>
    <row r="16" customFormat="false" ht="16.15" hidden="false" customHeight="false" outlineLevel="0" collapsed="false">
      <c r="A16" s="46" t="s">
        <v>151</v>
      </c>
    </row>
    <row r="17" customFormat="false" ht="26.85" hidden="false" customHeight="false" outlineLevel="0" collapsed="false">
      <c r="A17" s="4" t="s">
        <v>152</v>
      </c>
    </row>
    <row r="18" customFormat="false" ht="26.85" hidden="false" customHeight="false" outlineLevel="0" collapsed="false">
      <c r="A18" s="4" t="s">
        <v>153</v>
      </c>
    </row>
    <row r="19" customFormat="false" ht="52.2" hidden="false" customHeight="false" outlineLevel="0" collapsed="false">
      <c r="A19" s="4" t="s">
        <v>154</v>
      </c>
    </row>
    <row r="20" customFormat="false" ht="26.85" hidden="false" customHeight="false" outlineLevel="0" collapsed="false">
      <c r="A20" s="4" t="s">
        <v>155</v>
      </c>
    </row>
    <row r="21" customFormat="false" ht="52.2" hidden="false" customHeight="false" outlineLevel="0" collapsed="false">
      <c r="A21" s="4" t="s">
        <v>156</v>
      </c>
    </row>
    <row r="22" customFormat="false" ht="26.85" hidden="false" customHeight="false" outlineLevel="0" collapsed="false">
      <c r="A22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2026-05-12T19:36:49Z</dcterms:created>
  <dc:creator>openpyxl</dc:creator>
  <dc:description/>
  <dc:language>en-US</dc:language>
  <cp:lastModifiedBy/>
  <dcterms:modified xsi:type="dcterms:W3CDTF">2026-05-12T19:36:49Z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